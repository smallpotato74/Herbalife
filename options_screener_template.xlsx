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Watchlist" sheetId="2" state="visible" r:id="rId2"/>
    <sheet name="OptionScor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A75BB"/>
      <sz val="12"/>
    </font>
    <font>
      <color rgb="00000000"/>
      <sz val="10"/>
    </font>
    <font>
      <b val="1"/>
      <color rgb="002A75BB"/>
      <sz val="10"/>
    </font>
    <font>
      <b val="1"/>
      <color rgb="00FFFFFF"/>
      <sz val="10"/>
    </font>
    <font>
      <i val="1"/>
      <color rgb="00888888"/>
      <sz val="8"/>
    </font>
    <font>
      <b val="1"/>
      <color rgb="002A75BB"/>
    </font>
    <font>
      <sz val="9"/>
    </font>
  </fonts>
  <fills count="5">
    <fill>
      <patternFill/>
    </fill>
    <fill>
      <patternFill patternType="gray125"/>
    </fill>
    <fill>
      <patternFill patternType="solid">
        <fgColor rgb="002A75BB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期權篩選模板  —  用 ATR + IV + Greeks 揾高質期權</t>
        </is>
      </c>
    </row>
    <row r="2">
      <c r="A2" s="2" t="inlineStr">
        <is>
          <t>⚠️ 教育用途,非投資建議。期權高風險,落場前用模擬倉。</t>
        </is>
      </c>
    </row>
    <row r="3">
      <c r="A3" s="2" t="inlineStr"/>
    </row>
    <row r="4">
      <c r="A4" s="3" t="inlineStr">
        <is>
          <t>【顏色】黃色格 = 你要自己填數;  綠色格 = 公式自動計,唔好改。</t>
        </is>
      </c>
    </row>
    <row r="5">
      <c r="A5" s="2" t="inlineStr"/>
    </row>
    <row r="6">
      <c r="A6" s="3" t="inlineStr">
        <is>
          <t>【步驟】</t>
        </is>
      </c>
    </row>
    <row r="7">
      <c r="A7" s="2" t="inlineStr">
        <is>
          <t>1. Watchlist 表:填每隻股嘅 現價/ATR/HV20/當前IV/一年IV高低/earnings日。</t>
        </is>
      </c>
    </row>
    <row r="8">
      <c r="A8" s="2" t="inlineStr">
        <is>
          <t xml:space="preserve">   → 自動出 IVR、IV/HV、方向建議(BUY=買期權 / SELL=賣期權收租)。</t>
        </is>
      </c>
    </row>
    <row r="9">
      <c r="A9" s="2" t="inlineStr">
        <is>
          <t>2. OptionScorer 表:每行填一個候選合約(strike/DTE/delta/OI/量/買賣價/IV)。</t>
        </is>
      </c>
    </row>
    <row r="10">
      <c r="A10" s="2" t="inlineStr">
        <is>
          <t xml:space="preserve">   → 自動計 expected move + 4 項子分 + 總分。總分由高到低排就係你嘅清單。</t>
        </is>
      </c>
    </row>
    <row r="11">
      <c r="A11" s="2" t="inlineStr"/>
    </row>
    <row r="12">
      <c r="A12" s="3" t="inlineStr">
        <is>
          <t>【數字邊度嚟】</t>
        </is>
      </c>
    </row>
    <row r="13">
      <c r="A13" s="2" t="inlineStr">
        <is>
          <t>• 現價/ATR/HV:券商或 yfinance(配 options_screener.py 一齊用)。</t>
        </is>
      </c>
    </row>
    <row r="14">
      <c r="A14" s="2" t="inlineStr">
        <is>
          <t>• 當前IV / 一年IV高低:期權平台(tastytrade/IBKR/barchart 有 IV Rank)。</t>
        </is>
      </c>
    </row>
    <row r="15">
      <c r="A15" s="2" t="inlineStr">
        <is>
          <t>• Delta/OI/量/IV(逐個合約):券商期權鏈。</t>
        </is>
      </c>
    </row>
    <row r="16">
      <c r="A16" s="2" t="inlineStr"/>
    </row>
    <row r="17">
      <c r="A17" s="3" t="inlineStr">
        <is>
          <t>【評分規則(每項 25 分,滿分 100)】</t>
        </is>
      </c>
    </row>
    <row r="18">
      <c r="A18" s="2" t="inlineStr">
        <is>
          <t>• 流動性:OI 越大、成交越多、買賣價差越窄 → 分越高。</t>
        </is>
      </c>
    </row>
    <row r="19">
      <c r="A19" s="2" t="inlineStr">
        <is>
          <t>• Delta:落喺目標區間(買 0.55-0.70 / 賣 0.15-0.30)→ 滿分。</t>
        </is>
      </c>
    </row>
    <row r="20">
      <c r="A20" s="2" t="inlineStr">
        <is>
          <t>• 到價配合:買方 strike 喺 1個標準差內最好;賣方 strike 喺 1SD 外最安全。</t>
        </is>
      </c>
    </row>
    <row r="21">
      <c r="A21" s="2" t="inlineStr">
        <is>
          <t>• IV regime:買方想 IV/HV 低(平);賣方想 IV/HV 高(貴)。</t>
        </is>
      </c>
    </row>
    <row r="22">
      <c r="A22" s="2" t="inlineStr"/>
    </row>
    <row r="23">
      <c r="A23" s="3" t="inlineStr">
        <is>
          <t>【方向判斷】IVR&lt;30 或 IV/HV&lt;1.0 → BUY;  IVR&gt;50 或 IV/HV&gt;1.2 → SELL。</t>
        </is>
      </c>
    </row>
    <row r="24">
      <c r="A24" s="2" t="inlineStr"/>
    </row>
    <row r="25">
      <c r="A25" s="3" t="inlineStr">
        <is>
          <t>【退場(寫喺報告,模板唔自動做)】</t>
        </is>
      </c>
    </row>
    <row r="26">
      <c r="A26" s="2" t="inlineStr">
        <is>
          <t>• 買方:+50~100% 止賺 / -40~50% 止蝕 / 21 DTE 重評。</t>
        </is>
      </c>
    </row>
    <row r="27">
      <c r="A27" s="2" t="inlineStr">
        <is>
          <t>• 賣方:收 50% premium 止賺 / 蝕 2× credit 止蝕 / 21 DTE 管理避 gamma。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3" customWidth="1" min="8" max="8"/>
    <col width="11" customWidth="1" min="9" max="9"/>
    <col width="9" customWidth="1" min="10" max="10"/>
    <col width="12" customWidth="1" min="11" max="11"/>
    <col width="11" customWidth="1" min="12" max="12"/>
    <col width="11" customWidth="1" min="13" max="13"/>
  </cols>
  <sheetData>
    <row r="1">
      <c r="A1" s="4" t="inlineStr">
        <is>
          <t>Ticker</t>
        </is>
      </c>
      <c r="B1" s="4" t="inlineStr">
        <is>
          <t>現價</t>
        </is>
      </c>
      <c r="C1" s="4" t="inlineStr">
        <is>
          <t>ATR(14)</t>
        </is>
      </c>
      <c r="D1" s="4" t="inlineStr">
        <is>
          <t>當前IV</t>
        </is>
      </c>
      <c r="E1" s="4" t="inlineStr">
        <is>
          <t>一年IV低</t>
        </is>
      </c>
      <c r="F1" s="4" t="inlineStr">
        <is>
          <t>一年IV高</t>
        </is>
      </c>
      <c r="G1" s="4" t="inlineStr">
        <is>
          <t>HV20</t>
        </is>
      </c>
      <c r="H1" s="4" t="inlineStr">
        <is>
          <t>Earnings日</t>
        </is>
      </c>
      <c r="I1" s="4" t="inlineStr">
        <is>
          <t>↓自動↓ IVR</t>
        </is>
      </c>
      <c r="J1" s="4" t="inlineStr">
        <is>
          <t>IV/HV</t>
        </is>
      </c>
      <c r="K1" s="4" t="inlineStr">
        <is>
          <t>方向建議</t>
        </is>
      </c>
      <c r="L1" s="4" t="inlineStr">
        <is>
          <t>1SD@30d</t>
        </is>
      </c>
      <c r="M1" s="4" t="inlineStr">
        <is>
          <t>1SD@45d</t>
        </is>
      </c>
    </row>
    <row r="2">
      <c r="A2" s="5" t="inlineStr">
        <is>
          <t>代號</t>
        </is>
      </c>
      <c r="B2" s="5" t="inlineStr">
        <is>
          <t>$</t>
        </is>
      </c>
      <c r="C2" s="5" t="inlineStr">
        <is>
          <t>$</t>
        </is>
      </c>
      <c r="D2" s="5" t="inlineStr">
        <is>
          <t>小數0.30</t>
        </is>
      </c>
      <c r="E2" s="5" t="inlineStr">
        <is>
          <t>小數</t>
        </is>
      </c>
      <c r="F2" s="5" t="inlineStr">
        <is>
          <t>小數</t>
        </is>
      </c>
      <c r="G2" s="5" t="inlineStr">
        <is>
          <t>小數0.25</t>
        </is>
      </c>
      <c r="H2" s="5" t="inlineStr">
        <is>
          <t>YYYY-MM-DD</t>
        </is>
      </c>
      <c r="I2" s="5" t="inlineStr">
        <is>
          <t>(IV-低)/(高-低)</t>
        </is>
      </c>
      <c r="J2" s="5" t="inlineStr">
        <is>
          <t>當前IV/HV</t>
        </is>
      </c>
      <c r="K2" s="5" t="inlineStr">
        <is>
          <t>BUY/SELL</t>
        </is>
      </c>
      <c r="L2" s="5" t="inlineStr">
        <is>
          <t>S×IV×√(30/365)</t>
        </is>
      </c>
      <c r="M2" s="5" t="inlineStr">
        <is>
          <t>S×IV×√(45/365)</t>
        </is>
      </c>
    </row>
    <row r="3">
      <c r="A3" s="6" t="inlineStr">
        <is>
          <t>AAPL</t>
        </is>
      </c>
      <c r="B3" s="6" t="n">
        <v>195</v>
      </c>
      <c r="C3" s="6" t="n">
        <v>4.39</v>
      </c>
      <c r="D3" s="6" t="n">
        <v>0.22</v>
      </c>
      <c r="E3" s="6" t="n">
        <v>0.18</v>
      </c>
      <c r="F3" s="6" t="n">
        <v>0.45</v>
      </c>
      <c r="G3" s="6" t="n">
        <v>0.234</v>
      </c>
      <c r="H3" s="6" t="inlineStr">
        <is>
          <t>2026-07-10</t>
        </is>
      </c>
      <c r="I3" s="7">
        <f>IF((F3-E3)=0,"",ROUND((D3-E3)/(F3-E3)*100,0))</f>
        <v/>
      </c>
      <c r="J3" s="7">
        <f>IF(G3=0,"",ROUND(D3/G3,2))</f>
        <v/>
      </c>
      <c r="K3" s="7">
        <f>IF(OR(I3&gt;50,J3&gt;1.2),"SELL",IF(OR(I3&lt;30,J3&lt;1),"BUY","NEUTRAL"))</f>
        <v/>
      </c>
      <c r="L3" s="7">
        <f>ROUND(B3*D3*SQRT(30/365),2)</f>
        <v/>
      </c>
      <c r="M3" s="7">
        <f>ROUND(B3*D3*SQRT(45/365),2)</f>
        <v/>
      </c>
    </row>
    <row r="4">
      <c r="A4" s="6" t="inlineStr">
        <is>
          <t>NVDA</t>
        </is>
      </c>
      <c r="B4" s="6" t="n">
        <v>120</v>
      </c>
      <c r="C4" s="6" t="n">
        <v>6.65</v>
      </c>
      <c r="D4" s="6" t="n">
        <v>0.72</v>
      </c>
      <c r="E4" s="6" t="n">
        <v>0.4</v>
      </c>
      <c r="F4" s="6" t="n">
        <v>0.95</v>
      </c>
      <c r="G4" s="6" t="n">
        <v>0.544</v>
      </c>
      <c r="H4" s="6" t="inlineStr">
        <is>
          <t>2026-07-01</t>
        </is>
      </c>
      <c r="I4" s="7">
        <f>IF((F4-E4)=0,"",ROUND((D4-E4)/(F4-E4)*100,0))</f>
        <v/>
      </c>
      <c r="J4" s="7">
        <f>IF(G4=0,"",ROUND(D4/G4,2))</f>
        <v/>
      </c>
      <c r="K4" s="7">
        <f>IF(OR(I4&gt;50,J4&gt;1.2),"SELL",IF(OR(I4&lt;30,J4&lt;1),"BUY","NEUTRAL"))</f>
        <v/>
      </c>
      <c r="L4" s="7">
        <f>ROUND(B4*D4*SQRT(30/365),2)</f>
        <v/>
      </c>
      <c r="M4" s="7">
        <f>ROUND(B4*D4*SQRT(45/365),2)</f>
        <v/>
      </c>
    </row>
    <row r="5">
      <c r="A5" s="6" t="inlineStr">
        <is>
          <t>KO</t>
        </is>
      </c>
      <c r="B5" s="6" t="n">
        <v>62</v>
      </c>
      <c r="C5" s="6" t="n">
        <v>0.9</v>
      </c>
      <c r="D5" s="6" t="n">
        <v>0.16</v>
      </c>
      <c r="E5" s="6" t="n">
        <v>0.12</v>
      </c>
      <c r="F5" s="6" t="n">
        <v>0.28</v>
      </c>
      <c r="G5" s="6" t="n">
        <v>0.143</v>
      </c>
      <c r="H5" s="6" t="inlineStr"/>
      <c r="I5" s="7">
        <f>IF((F5-E5)=0,"",ROUND((D5-E5)/(F5-E5)*100,0))</f>
        <v/>
      </c>
      <c r="J5" s="7">
        <f>IF(G5=0,"",ROUND(D5/G5,2))</f>
        <v/>
      </c>
      <c r="K5" s="7">
        <f>IF(OR(I5&gt;50,J5&gt;1.2),"SELL",IF(OR(I5&lt;30,J5&lt;1),"BUY","NEUTRAL"))</f>
        <v/>
      </c>
      <c r="L5" s="7">
        <f>ROUND(B5*D5*SQRT(30/365),2)</f>
        <v/>
      </c>
      <c r="M5" s="7">
        <f>ROUND(B5*D5*SQRT(45/365),2)</f>
        <v/>
      </c>
    </row>
    <row r="6">
      <c r="A6" s="6" t="inlineStr">
        <is>
          <t>SPY</t>
        </is>
      </c>
      <c r="B6" s="6" t="n">
        <v>540</v>
      </c>
      <c r="C6" s="6" t="n">
        <v>6.5</v>
      </c>
      <c r="D6" s="6" t="n">
        <v>0.12</v>
      </c>
      <c r="E6" s="6" t="n">
        <v>0.09</v>
      </c>
      <c r="F6" s="6" t="n">
        <v>0.35</v>
      </c>
      <c r="G6" s="6" t="n">
        <v>0.158</v>
      </c>
      <c r="H6" s="6" t="inlineStr"/>
      <c r="I6" s="7">
        <f>IF((F6-E6)=0,"",ROUND((D6-E6)/(F6-E6)*100,0))</f>
        <v/>
      </c>
      <c r="J6" s="7">
        <f>IF(G6=0,"",ROUND(D6/G6,2))</f>
        <v/>
      </c>
      <c r="K6" s="7">
        <f>IF(OR(I6&gt;50,J6&gt;1.2),"SELL",IF(OR(I6&lt;30,J6&lt;1),"BUY","NEUTRAL"))</f>
        <v/>
      </c>
      <c r="L6" s="7">
        <f>ROUND(B6*D6*SQRT(30/365),2)</f>
        <v/>
      </c>
      <c r="M6" s="7">
        <f>ROUND(B6*D6*SQRT(45/365),2)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7" customWidth="1" min="4" max="4"/>
    <col width="6" customWidth="1" min="5" max="5"/>
    <col width="7" customWidth="1" min="6" max="6"/>
    <col width="5" customWidth="1" min="7" max="7"/>
    <col width="7" customWidth="1" min="8" max="8"/>
    <col width="7" customWidth="1" min="9" max="9"/>
    <col width="8" customWidth="1" min="10" max="10"/>
    <col width="6" customWidth="1" min="11" max="11"/>
    <col width="6" customWidth="1" min="12" max="12"/>
    <col width="6" customWidth="1" min="13" max="13"/>
    <col width="8" customWidth="1" min="14" max="14"/>
    <col width="8" customWidth="1" min="15" max="15"/>
    <col width="7" customWidth="1" min="16" max="16"/>
    <col width="8" customWidth="1" min="17" max="17"/>
    <col width="9" customWidth="1" min="18" max="18"/>
    <col width="8" customWidth="1" min="19" max="19"/>
    <col width="8" customWidth="1" min="20" max="20"/>
    <col width="7" customWidth="1" min="21" max="21"/>
    <col width="7" customWidth="1" min="22" max="22"/>
    <col width="6" customWidth="1" min="23" max="23"/>
  </cols>
  <sheetData>
    <row r="1">
      <c r="A1" s="8" t="inlineStr">
        <is>
          <t>參數(可改)</t>
        </is>
      </c>
    </row>
    <row r="2">
      <c r="A2" s="9" t="inlineStr">
        <is>
          <t>最低OI</t>
        </is>
      </c>
      <c r="B2" s="6" t="n">
        <v>500</v>
      </c>
    </row>
    <row r="3">
      <c r="A3" s="9" t="inlineStr">
        <is>
          <t>最低量</t>
        </is>
      </c>
      <c r="B3" s="6" t="n">
        <v>50</v>
      </c>
    </row>
    <row r="4">
      <c r="A4" s="9" t="inlineStr">
        <is>
          <t>最大價差%</t>
        </is>
      </c>
      <c r="B4" s="6" t="n">
        <v>0.06</v>
      </c>
    </row>
    <row r="5">
      <c r="A5" s="9" t="inlineStr">
        <is>
          <t>買-Delta低</t>
        </is>
      </c>
      <c r="B5" s="6" t="n">
        <v>0.55</v>
      </c>
    </row>
    <row r="6">
      <c r="A6" s="9" t="inlineStr">
        <is>
          <t>買-Delta高</t>
        </is>
      </c>
      <c r="B6" s="6" t="n">
        <v>0.7</v>
      </c>
    </row>
    <row r="7">
      <c r="A7" s="9" t="inlineStr">
        <is>
          <t>賣-Delta低</t>
        </is>
      </c>
      <c r="B7" s="6" t="n">
        <v>0.15</v>
      </c>
    </row>
    <row r="8">
      <c r="A8" s="9" t="inlineStr">
        <is>
          <t>賣-Delta高</t>
        </is>
      </c>
      <c r="B8" s="6" t="n">
        <v>0.3</v>
      </c>
    </row>
    <row r="11">
      <c r="A11" s="4" t="inlineStr">
        <is>
          <t>Ticker</t>
        </is>
      </c>
      <c r="B11" s="4" t="inlineStr">
        <is>
          <t>Spot</t>
        </is>
      </c>
      <c r="C11" s="4" t="inlineStr">
        <is>
          <t>RefIV</t>
        </is>
      </c>
      <c r="D11" s="4" t="inlineStr">
        <is>
          <t>HV20</t>
        </is>
      </c>
      <c r="E11" s="4" t="inlineStr">
        <is>
          <t>Side</t>
        </is>
      </c>
      <c r="F11" s="4" t="inlineStr">
        <is>
          <t>Strike</t>
        </is>
      </c>
      <c r="G11" s="4" t="inlineStr">
        <is>
          <t>DTE</t>
        </is>
      </c>
      <c r="H11" s="4" t="inlineStr">
        <is>
          <t>|Delta|</t>
        </is>
      </c>
      <c r="I11" s="4" t="inlineStr">
        <is>
          <t>OI</t>
        </is>
      </c>
      <c r="J11" s="4" t="inlineStr">
        <is>
          <t>Volume</t>
        </is>
      </c>
      <c r="K11" s="4" t="inlineStr">
        <is>
          <t>Bid</t>
        </is>
      </c>
      <c r="L11" s="4" t="inlineStr">
        <is>
          <t>Ask</t>
        </is>
      </c>
      <c r="M11" s="4" t="inlineStr">
        <is>
          <t>IV</t>
        </is>
      </c>
      <c r="N11" s="4" t="inlineStr">
        <is>
          <t>↓自動↓ Mid</t>
        </is>
      </c>
      <c r="O11" s="4" t="inlineStr">
        <is>
          <t>Spread%</t>
        </is>
      </c>
      <c r="P11" s="4" t="inlineStr">
        <is>
          <t>1SD</t>
        </is>
      </c>
      <c r="Q11" s="4" t="inlineStr">
        <is>
          <t>距Strike</t>
        </is>
      </c>
      <c r="R11" s="4" t="inlineStr">
        <is>
          <t>流動性25</t>
        </is>
      </c>
      <c r="S11" s="4" t="inlineStr">
        <is>
          <t>Delta25</t>
        </is>
      </c>
      <c r="T11" s="4" t="inlineStr">
        <is>
          <t>到價25</t>
        </is>
      </c>
      <c r="U11" s="4" t="inlineStr">
        <is>
          <t>IV25</t>
        </is>
      </c>
      <c r="V11" s="4" t="inlineStr">
        <is>
          <t>總分</t>
        </is>
      </c>
      <c r="W11" s="4" t="inlineStr">
        <is>
          <t>過濾</t>
        </is>
      </c>
    </row>
    <row r="12">
      <c r="A12" s="6" t="inlineStr">
        <is>
          <t>AAPL</t>
        </is>
      </c>
      <c r="B12" s="6" t="n">
        <v>195</v>
      </c>
      <c r="C12" s="6" t="n">
        <v>0.22</v>
      </c>
      <c r="D12" s="6" t="n">
        <v>0.234</v>
      </c>
      <c r="E12" s="6" t="inlineStr">
        <is>
          <t>BUY</t>
        </is>
      </c>
      <c r="F12" s="6" t="n">
        <v>190</v>
      </c>
      <c r="G12" s="6" t="n">
        <v>35</v>
      </c>
      <c r="H12" s="6" t="n">
        <v>0.68</v>
      </c>
      <c r="I12" s="6" t="n">
        <v>2983</v>
      </c>
      <c r="J12" s="6" t="n">
        <v>800</v>
      </c>
      <c r="K12" s="6" t="n">
        <v>8.460000000000001</v>
      </c>
      <c r="L12" s="6" t="n">
        <v>8.82</v>
      </c>
      <c r="M12" s="6" t="n">
        <v>0.22</v>
      </c>
      <c r="N12" s="7">
        <f>ROUND((K12+L12)/2,2)</f>
        <v/>
      </c>
      <c r="O12" s="7">
        <f>IF(N12=0,1,ROUND((L12-K12)/N12,3))</f>
        <v/>
      </c>
      <c r="P12" s="7">
        <f>ROUND(B12*C12*SQRT(G12/365),2)</f>
        <v/>
      </c>
      <c r="Q12" s="7">
        <f>ABS(F12-B12)</f>
        <v/>
      </c>
      <c r="R12" s="7">
        <f>ROUND(MIN(25,(I12/2000)*12+(J12/500)*8+(1-MIN(O12/$B$4,1))*5),1)</f>
        <v/>
      </c>
      <c r="S12" s="7">
        <f>ROUND(IF(AND(H12&gt;=IF(E12="BUY",$B$5,$B$7),H12&lt;=IF(E12="BUY",$B$6,$B$8)),25,MAX(0,25-MIN(ABS(H12-(IF(E12="BUY",$B$5,$B$7))),ABS(H12-(IF(E12="BUY",$B$6,$B$8))))*100)),1)</f>
        <v/>
      </c>
      <c r="T12" s="7">
        <f>ROUND(IF(P12&lt;=0,0,IF(E12="BUY",IF(Q12&lt;=P12,25,MAX(0,25-(Q12-P12)/P12*25)),IF(Q12&gt;=P12,25,IF(Q12&gt;=0.5*P12,12+(Q12-0.5*P12)/(0.5*P12)*13,MAX(0,Q12/(0.5*P12)*12))))),1)</f>
        <v/>
      </c>
      <c r="U12" s="7">
        <f>ROUND(IF(D12=0,0,IF(E12="SELL",MAX(0,MIN(25,(C12/D12-1)/0.5*25)),MAX(0,MIN(25,(1.2-C12/D12)/0.5*25)))),1)</f>
        <v/>
      </c>
      <c r="V12" s="7">
        <f>ROUND(R12+S12+T12+U12,1)</f>
        <v/>
      </c>
      <c r="W12" s="7">
        <f>IF(AND(I12&gt;=$B$2,J12&gt;=$B$3,O12&lt;=$B$4),"✓","✗")</f>
        <v/>
      </c>
    </row>
    <row r="13">
      <c r="A13" s="6" t="inlineStr">
        <is>
          <t>AAPL</t>
        </is>
      </c>
      <c r="B13" s="6" t="n">
        <v>195</v>
      </c>
      <c r="C13" s="6" t="n">
        <v>0.22</v>
      </c>
      <c r="D13" s="6" t="n">
        <v>0.234</v>
      </c>
      <c r="E13" s="6" t="inlineStr">
        <is>
          <t>BUY</t>
        </is>
      </c>
      <c r="F13" s="6" t="n">
        <v>200</v>
      </c>
      <c r="G13" s="6" t="n">
        <v>45</v>
      </c>
      <c r="H13" s="6" t="n">
        <v>0.59</v>
      </c>
      <c r="I13" s="6" t="n">
        <v>3059</v>
      </c>
      <c r="J13" s="6" t="n">
        <v>760</v>
      </c>
      <c r="K13" s="6" t="n">
        <v>8.050000000000001</v>
      </c>
      <c r="L13" s="6" t="n">
        <v>8.390000000000001</v>
      </c>
      <c r="M13" s="6" t="n">
        <v>0.22</v>
      </c>
      <c r="N13" s="7">
        <f>ROUND((K13+L13)/2,2)</f>
        <v/>
      </c>
      <c r="O13" s="7">
        <f>IF(N13=0,1,ROUND((L13-K13)/N13,3))</f>
        <v/>
      </c>
      <c r="P13" s="7">
        <f>ROUND(B13*C13*SQRT(G13/365),2)</f>
        <v/>
      </c>
      <c r="Q13" s="7">
        <f>ABS(F13-B13)</f>
        <v/>
      </c>
      <c r="R13" s="7">
        <f>ROUND(MIN(25,(I13/2000)*12+(J13/500)*8+(1-MIN(O13/$B$4,1))*5),1)</f>
        <v/>
      </c>
      <c r="S13" s="7">
        <f>ROUND(IF(AND(H13&gt;=IF(E13="BUY",$B$5,$B$7),H13&lt;=IF(E13="BUY",$B$6,$B$8)),25,MAX(0,25-MIN(ABS(H13-(IF(E13="BUY",$B$5,$B$7))),ABS(H13-(IF(E13="BUY",$B$6,$B$8))))*100)),1)</f>
        <v/>
      </c>
      <c r="T13" s="7">
        <f>ROUND(IF(P13&lt;=0,0,IF(E13="BUY",IF(Q13&lt;=P13,25,MAX(0,25-(Q13-P13)/P13*25)),IF(Q13&gt;=P13,25,IF(Q13&gt;=0.5*P13,12+(Q13-0.5*P13)/(0.5*P13)*13,MAX(0,Q13/(0.5*P13)*12))))),1)</f>
        <v/>
      </c>
      <c r="U13" s="7">
        <f>ROUND(IF(D13=0,0,IF(E13="SELL",MAX(0,MIN(25,(C13/D13-1)/0.5*25)),MAX(0,MIN(25,(1.2-C13/D13)/0.5*25)))),1)</f>
        <v/>
      </c>
      <c r="V13" s="7">
        <f>ROUND(R13+S13+T13+U13,1)</f>
        <v/>
      </c>
      <c r="W13" s="7">
        <f>IF(AND(I13&gt;=$B$2,J13&gt;=$B$3,O13&lt;=$B$4),"✓","✗")</f>
        <v/>
      </c>
    </row>
    <row r="14">
      <c r="A14" s="6" t="inlineStr">
        <is>
          <t>NVDA</t>
        </is>
      </c>
      <c r="B14" s="6" t="n">
        <v>120</v>
      </c>
      <c r="C14" s="6" t="n">
        <v>0.72</v>
      </c>
      <c r="D14" s="6" t="n">
        <v>0.544</v>
      </c>
      <c r="E14" s="6" t="inlineStr">
        <is>
          <t>SELL</t>
        </is>
      </c>
      <c r="F14" s="6" t="n">
        <v>111</v>
      </c>
      <c r="G14" s="6" t="n">
        <v>35</v>
      </c>
      <c r="H14" s="6" t="n">
        <v>0.32</v>
      </c>
      <c r="I14" s="6" t="n">
        <v>1768</v>
      </c>
      <c r="J14" s="6" t="n">
        <v>430</v>
      </c>
      <c r="K14" s="6" t="n">
        <v>6.39</v>
      </c>
      <c r="L14" s="6" t="n">
        <v>6.59</v>
      </c>
      <c r="M14" s="6" t="n">
        <v>0.74</v>
      </c>
      <c r="N14" s="7">
        <f>ROUND((K14+L14)/2,2)</f>
        <v/>
      </c>
      <c r="O14" s="7">
        <f>IF(N14=0,1,ROUND((L14-K14)/N14,3))</f>
        <v/>
      </c>
      <c r="P14" s="7">
        <f>ROUND(B14*C14*SQRT(G14/365),2)</f>
        <v/>
      </c>
      <c r="Q14" s="7">
        <f>ABS(F14-B14)</f>
        <v/>
      </c>
      <c r="R14" s="7">
        <f>ROUND(MIN(25,(I14/2000)*12+(J14/500)*8+(1-MIN(O14/$B$4,1))*5),1)</f>
        <v/>
      </c>
      <c r="S14" s="7">
        <f>ROUND(IF(AND(H14&gt;=IF(E14="BUY",$B$5,$B$7),H14&lt;=IF(E14="BUY",$B$6,$B$8)),25,MAX(0,25-MIN(ABS(H14-(IF(E14="BUY",$B$5,$B$7))),ABS(H14-(IF(E14="BUY",$B$6,$B$8))))*100)),1)</f>
        <v/>
      </c>
      <c r="T14" s="7">
        <f>ROUND(IF(P14&lt;=0,0,IF(E14="BUY",IF(Q14&lt;=P14,25,MAX(0,25-(Q14-P14)/P14*25)),IF(Q14&gt;=P14,25,IF(Q14&gt;=0.5*P14,12+(Q14-0.5*P14)/(0.5*P14)*13,MAX(0,Q14/(0.5*P14)*12))))),1)</f>
        <v/>
      </c>
      <c r="U14" s="7">
        <f>ROUND(IF(D14=0,0,IF(E14="SELL",MAX(0,MIN(25,(C14/D14-1)/0.5*25)),MAX(0,MIN(25,(1.2-C14/D14)/0.5*25)))),1)</f>
        <v/>
      </c>
      <c r="V14" s="7">
        <f>ROUND(R14+S14+T14+U14,1)</f>
        <v/>
      </c>
      <c r="W14" s="7">
        <f>IF(AND(I14&gt;=$B$2,J14&gt;=$B$3,O14&lt;=$B$4),"✓","✗")</f>
        <v/>
      </c>
    </row>
    <row r="15">
      <c r="A15" s="6" t="inlineStr">
        <is>
          <t>NVDA</t>
        </is>
      </c>
      <c r="B15" s="6" t="n">
        <v>120</v>
      </c>
      <c r="C15" s="6" t="n">
        <v>0.72</v>
      </c>
      <c r="D15" s="6" t="n">
        <v>0.544</v>
      </c>
      <c r="E15" s="6" t="inlineStr">
        <is>
          <t>SELL</t>
        </is>
      </c>
      <c r="F15" s="6" t="n">
        <v>108</v>
      </c>
      <c r="G15" s="6" t="n">
        <v>35</v>
      </c>
      <c r="H15" s="6" t="n">
        <v>0.28</v>
      </c>
      <c r="I15" s="6" t="n">
        <v>1303</v>
      </c>
      <c r="J15" s="6" t="n">
        <v>360</v>
      </c>
      <c r="K15" s="6" t="n">
        <v>5.39</v>
      </c>
      <c r="L15" s="6" t="n">
        <v>5.59</v>
      </c>
      <c r="M15" s="6" t="n">
        <v>0.76</v>
      </c>
      <c r="N15" s="7">
        <f>ROUND((K15+L15)/2,2)</f>
        <v/>
      </c>
      <c r="O15" s="7">
        <f>IF(N15=0,1,ROUND((L15-K15)/N15,3))</f>
        <v/>
      </c>
      <c r="P15" s="7">
        <f>ROUND(B15*C15*SQRT(G15/365),2)</f>
        <v/>
      </c>
      <c r="Q15" s="7">
        <f>ABS(F15-B15)</f>
        <v/>
      </c>
      <c r="R15" s="7">
        <f>ROUND(MIN(25,(I15/2000)*12+(J15/500)*8+(1-MIN(O15/$B$4,1))*5),1)</f>
        <v/>
      </c>
      <c r="S15" s="7">
        <f>ROUND(IF(AND(H15&gt;=IF(E15="BUY",$B$5,$B$7),H15&lt;=IF(E15="BUY",$B$6,$B$8)),25,MAX(0,25-MIN(ABS(H15-(IF(E15="BUY",$B$5,$B$7))),ABS(H15-(IF(E15="BUY",$B$6,$B$8))))*100)),1)</f>
        <v/>
      </c>
      <c r="T15" s="7">
        <f>ROUND(IF(P15&lt;=0,0,IF(E15="BUY",IF(Q15&lt;=P15,25,MAX(0,25-(Q15-P15)/P15*25)),IF(Q15&gt;=P15,25,IF(Q15&gt;=0.5*P15,12+(Q15-0.5*P15)/(0.5*P15)*13,MAX(0,Q15/(0.5*P15)*12))))),1)</f>
        <v/>
      </c>
      <c r="U15" s="7">
        <f>ROUND(IF(D15=0,0,IF(E15="SELL",MAX(0,MIN(25,(C15/D15-1)/0.5*25)),MAX(0,MIN(25,(1.2-C15/D15)/0.5*25)))),1)</f>
        <v/>
      </c>
      <c r="V15" s="7">
        <f>ROUND(R15+S15+T15+U15,1)</f>
        <v/>
      </c>
      <c r="W15" s="7">
        <f>IF(AND(I15&gt;=$B$2,J15&gt;=$B$3,O15&lt;=$B$4),"✓","✗")</f>
        <v/>
      </c>
    </row>
    <row r="16">
      <c r="A16" s="6" t="inlineStr">
        <is>
          <t>KO</t>
        </is>
      </c>
      <c r="B16" s="6" t="n">
        <v>62</v>
      </c>
      <c r="C16" s="6" t="n">
        <v>0.16</v>
      </c>
      <c r="D16" s="6" t="n">
        <v>0.143</v>
      </c>
      <c r="E16" s="6" t="inlineStr">
        <is>
          <t>SELL</t>
        </is>
      </c>
      <c r="F16" s="6" t="n">
        <v>58</v>
      </c>
      <c r="G16" s="6" t="n">
        <v>35</v>
      </c>
      <c r="H16" s="6" t="n">
        <v>0.22</v>
      </c>
      <c r="I16" s="6" t="n">
        <v>2100</v>
      </c>
      <c r="J16" s="6" t="n">
        <v>300</v>
      </c>
      <c r="K16" s="6" t="n">
        <v>0.55</v>
      </c>
      <c r="L16" s="6" t="n">
        <v>0.62</v>
      </c>
      <c r="M16" s="6" t="n">
        <v>0.17</v>
      </c>
      <c r="N16" s="7">
        <f>ROUND((K16+L16)/2,2)</f>
        <v/>
      </c>
      <c r="O16" s="7">
        <f>IF(N16=0,1,ROUND((L16-K16)/N16,3))</f>
        <v/>
      </c>
      <c r="P16" s="7">
        <f>ROUND(B16*C16*SQRT(G16/365),2)</f>
        <v/>
      </c>
      <c r="Q16" s="7">
        <f>ABS(F16-B16)</f>
        <v/>
      </c>
      <c r="R16" s="7">
        <f>ROUND(MIN(25,(I16/2000)*12+(J16/500)*8+(1-MIN(O16/$B$4,1))*5),1)</f>
        <v/>
      </c>
      <c r="S16" s="7">
        <f>ROUND(IF(AND(H16&gt;=IF(E16="BUY",$B$5,$B$7),H16&lt;=IF(E16="BUY",$B$6,$B$8)),25,MAX(0,25-MIN(ABS(H16-(IF(E16="BUY",$B$5,$B$7))),ABS(H16-(IF(E16="BUY",$B$6,$B$8))))*100)),1)</f>
        <v/>
      </c>
      <c r="T16" s="7">
        <f>ROUND(IF(P16&lt;=0,0,IF(E16="BUY",IF(Q16&lt;=P16,25,MAX(0,25-(Q16-P16)/P16*25)),IF(Q16&gt;=P16,25,IF(Q16&gt;=0.5*P16,12+(Q16-0.5*P16)/(0.5*P16)*13,MAX(0,Q16/(0.5*P16)*12))))),1)</f>
        <v/>
      </c>
      <c r="U16" s="7">
        <f>ROUND(IF(D16=0,0,IF(E16="SELL",MAX(0,MIN(25,(C16/D16-1)/0.5*25)),MAX(0,MIN(25,(1.2-C16/D16)/0.5*25)))),1)</f>
        <v/>
      </c>
      <c r="V16" s="7">
        <f>ROUND(R16+S16+T16+U16,1)</f>
        <v/>
      </c>
      <c r="W16" s="7">
        <f>IF(AND(I16&gt;=$B$2,J16&gt;=$B$3,O16&lt;=$B$4),"✓","✗")</f>
        <v/>
      </c>
    </row>
    <row r="17">
      <c r="A17" s="6" t="inlineStr">
        <is>
          <t>SPY</t>
        </is>
      </c>
      <c r="B17" s="6" t="n">
        <v>540</v>
      </c>
      <c r="C17" s="6" t="n">
        <v>0.12</v>
      </c>
      <c r="D17" s="6" t="n">
        <v>0.158</v>
      </c>
      <c r="E17" s="6" t="inlineStr">
        <is>
          <t>BUY</t>
        </is>
      </c>
      <c r="F17" s="6" t="n">
        <v>535</v>
      </c>
      <c r="G17" s="6" t="n">
        <v>45</v>
      </c>
      <c r="H17" s="6" t="n">
        <v>0.6</v>
      </c>
      <c r="I17" s="6" t="n">
        <v>5000</v>
      </c>
      <c r="J17" s="6" t="n">
        <v>1200</v>
      </c>
      <c r="K17" s="6" t="n">
        <v>12.1</v>
      </c>
      <c r="L17" s="6" t="n">
        <v>12.4</v>
      </c>
      <c r="M17" s="6" t="n">
        <v>0.12</v>
      </c>
      <c r="N17" s="7">
        <f>ROUND((K17+L17)/2,2)</f>
        <v/>
      </c>
      <c r="O17" s="7">
        <f>IF(N17=0,1,ROUND((L17-K17)/N17,3))</f>
        <v/>
      </c>
      <c r="P17" s="7">
        <f>ROUND(B17*C17*SQRT(G17/365),2)</f>
        <v/>
      </c>
      <c r="Q17" s="7">
        <f>ABS(F17-B17)</f>
        <v/>
      </c>
      <c r="R17" s="7">
        <f>ROUND(MIN(25,(I17/2000)*12+(J17/500)*8+(1-MIN(O17/$B$4,1))*5),1)</f>
        <v/>
      </c>
      <c r="S17" s="7">
        <f>ROUND(IF(AND(H17&gt;=IF(E17="BUY",$B$5,$B$7),H17&lt;=IF(E17="BUY",$B$6,$B$8)),25,MAX(0,25-MIN(ABS(H17-(IF(E17="BUY",$B$5,$B$7))),ABS(H17-(IF(E17="BUY",$B$6,$B$8))))*100)),1)</f>
        <v/>
      </c>
      <c r="T17" s="7">
        <f>ROUND(IF(P17&lt;=0,0,IF(E17="BUY",IF(Q17&lt;=P17,25,MAX(0,25-(Q17-P17)/P17*25)),IF(Q17&gt;=P17,25,IF(Q17&gt;=0.5*P17,12+(Q17-0.5*P17)/(0.5*P17)*13,MAX(0,Q17/(0.5*P17)*12))))),1)</f>
        <v/>
      </c>
      <c r="U17" s="7">
        <f>ROUND(IF(D17=0,0,IF(E17="SELL",MAX(0,MIN(25,(C17/D17-1)/0.5*25)),MAX(0,MIN(25,(1.2-C17/D17)/0.5*25)))),1)</f>
        <v/>
      </c>
      <c r="V17" s="7">
        <f>ROUND(R17+S17+T17+U17,1)</f>
        <v/>
      </c>
      <c r="W17" s="7">
        <f>IF(AND(I17&gt;=$B$2,J17&gt;=$B$3,O17&lt;=$B$4),"✓","✗")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2026-06-22T04:53:11Z</dcterms:created>
  <dcterms:modified xsi:type="dcterms:W3CDTF">2026-06-22T04:53:11Z</dcterms:modified>
</cp:coreProperties>
</file>